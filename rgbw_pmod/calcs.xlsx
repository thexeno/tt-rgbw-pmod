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nino\Dropbox\Hardware\RGBW_PMOD\rgbw_pmod\"/>
    </mc:Choice>
  </mc:AlternateContent>
  <xr:revisionPtr revIDLastSave="0" documentId="13_ncr:1_{BEA44872-3946-469D-8008-1D2A8573301C}" xr6:coauthVersionLast="47" xr6:coauthVersionMax="47" xr10:uidLastSave="{00000000-0000-0000-0000-000000000000}"/>
  <bookViews>
    <workbookView xWindow="-120" yWindow="-120" windowWidth="29040" windowHeight="17640" xr2:uid="{07B71719-1B5E-4566-9256-859DA1E70522}"/>
  </bookViews>
  <sheets>
    <sheet name="TPS54200" sheetId="1" r:id="rId1"/>
    <sheet name="LuXEon 5052 RGB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40" i="1"/>
  <c r="C39" i="1" s="1"/>
  <c r="B39" i="1"/>
  <c r="C37" i="1"/>
  <c r="B37" i="1"/>
  <c r="B20" i="1"/>
  <c r="E25" i="1"/>
  <c r="E30" i="1" s="1"/>
  <c r="D25" i="1"/>
  <c r="D30" i="1" s="1"/>
  <c r="C25" i="1"/>
  <c r="C30" i="1" s="1"/>
  <c r="B25" i="1"/>
  <c r="B30" i="1" s="1"/>
  <c r="E20" i="1"/>
  <c r="B4" i="1"/>
  <c r="D4" i="1" s="1"/>
  <c r="D20" i="1"/>
  <c r="C20" i="1"/>
  <c r="D13" i="1"/>
  <c r="C16" i="1"/>
  <c r="Q4" i="1"/>
  <c r="Q5" i="1"/>
  <c r="Q6" i="1"/>
  <c r="Q7" i="1"/>
  <c r="Q8" i="1"/>
  <c r="Q9" i="1"/>
  <c r="Q10" i="1"/>
  <c r="Q11" i="1"/>
  <c r="Q12" i="1"/>
  <c r="Q3" i="1"/>
  <c r="C21" i="2"/>
  <c r="D32" i="2"/>
  <c r="G32" i="2" s="1"/>
  <c r="L18" i="2"/>
  <c r="E17" i="2"/>
  <c r="F11" i="2"/>
  <c r="F12" i="2"/>
  <c r="F13" i="2"/>
  <c r="F10" i="2"/>
  <c r="I11" i="2"/>
  <c r="I10" i="2"/>
  <c r="D6" i="2"/>
  <c r="D5" i="2"/>
  <c r="D4" i="2"/>
  <c r="D3" i="2"/>
  <c r="C6" i="2"/>
  <c r="C5" i="2"/>
  <c r="E5" i="2" s="1"/>
  <c r="C4" i="2"/>
  <c r="E4" i="2" s="1"/>
  <c r="C3" i="2"/>
  <c r="E3" i="2" s="1"/>
  <c r="C18" i="1" l="1"/>
  <c r="B18" i="1"/>
  <c r="L10" i="2"/>
  <c r="E6" i="2"/>
  <c r="G3" i="2" s="1"/>
  <c r="L11" i="2"/>
  <c r="B24" i="1" l="1"/>
  <c r="B29" i="1" s="1"/>
  <c r="D8" i="1"/>
  <c r="B8" i="1"/>
  <c r="D24" i="1"/>
  <c r="E24" i="1"/>
  <c r="C24" i="1"/>
  <c r="C29" i="1" s="1"/>
  <c r="D34" i="2"/>
  <c r="G34" i="2" s="1"/>
  <c r="C27" i="1" l="1"/>
  <c r="E27" i="1"/>
  <c r="E29" i="1"/>
  <c r="D27" i="1"/>
  <c r="D29" i="1"/>
  <c r="B27" i="1"/>
  <c r="D33" i="2"/>
  <c r="G33" i="2" s="1"/>
  <c r="D35" i="2"/>
  <c r="G35" i="2" s="1"/>
</calcChain>
</file>

<file path=xl/sharedStrings.xml><?xml version="1.0" encoding="utf-8"?>
<sst xmlns="http://schemas.openxmlformats.org/spreadsheetml/2006/main" count="106" uniqueCount="87">
  <si>
    <t>Vo</t>
  </si>
  <si>
    <t>Vin</t>
  </si>
  <si>
    <t>Fsw</t>
  </si>
  <si>
    <t>Lmin (H)</t>
  </si>
  <si>
    <t>Il_ripple (A)</t>
  </si>
  <si>
    <t>Il_pk</t>
  </si>
  <si>
    <t>Il_rms</t>
  </si>
  <si>
    <t>Thermals</t>
  </si>
  <si>
    <t>R</t>
  </si>
  <si>
    <t>G</t>
  </si>
  <si>
    <t>B</t>
  </si>
  <si>
    <t>W</t>
  </si>
  <si>
    <t>A</t>
  </si>
  <si>
    <t>V</t>
  </si>
  <si>
    <t>P</t>
  </si>
  <si>
    <t>Ptot</t>
  </si>
  <si>
    <t>Theta</t>
  </si>
  <si>
    <t>junction-solder [°C/W]</t>
  </si>
  <si>
    <t>pcb_len[cm]</t>
  </si>
  <si>
    <t>drill_hole[cm]</t>
  </si>
  <si>
    <t>plating[cm]</t>
  </si>
  <si>
    <t>theta_via[°C/W]</t>
  </si>
  <si>
    <t>junction_back_pcb</t>
  </si>
  <si>
    <t>W/°C</t>
  </si>
  <si>
    <t>°C/W</t>
  </si>
  <si>
    <t>TempA</t>
  </si>
  <si>
    <t>TempJ_bottom</t>
  </si>
  <si>
    <t>Temp</t>
  </si>
  <si>
    <t>copper</t>
  </si>
  <si>
    <t>copper trace 1mm</t>
  </si>
  <si>
    <t>Side 1 LED</t>
  </si>
  <si>
    <t>Side 2 LED</t>
  </si>
  <si>
    <t>total_bottom, 4 vias</t>
  </si>
  <si>
    <t>total_top_1, 24 vias</t>
  </si>
  <si>
    <t>Total LED is parallel of the top side to below and laterla to below</t>
  </si>
  <si>
    <t>Total parallel</t>
  </si>
  <si>
    <t>EDIT: add PCB to ambient to the resistance</t>
  </si>
  <si>
    <t>Alternative</t>
  </si>
  <si>
    <t>ZXLD1350</t>
  </si>
  <si>
    <t>ESR_L SRR5028-151Y</t>
  </si>
  <si>
    <t>https://www.electronics-cooling.com/2004/08/thermal-vias-a-packaging-engineers-best-friend/</t>
  </si>
  <si>
    <t>thick</t>
  </si>
  <si>
    <t>lenght</t>
  </si>
  <si>
    <t>1/lamb_cu[°C*cm / W]</t>
  </si>
  <si>
    <t>width</t>
  </si>
  <si>
    <t>D</t>
  </si>
  <si>
    <t>Dx(1-D)</t>
  </si>
  <si>
    <t>Icin</t>
  </si>
  <si>
    <t>Cin</t>
  </si>
  <si>
    <t>ESR@Fsw</t>
  </si>
  <si>
    <t>dVin</t>
  </si>
  <si>
    <t xml:space="preserve">Cin </t>
  </si>
  <si>
    <t xml:space="preserve">GRM32ER7YA106KA12L </t>
  </si>
  <si>
    <t>Losses L resistive</t>
  </si>
  <si>
    <t>Tind = Tamb+30°C rated</t>
  </si>
  <si>
    <t>no issues</t>
  </si>
  <si>
    <t>rd R</t>
  </si>
  <si>
    <t>rd G</t>
  </si>
  <si>
    <t>rd B</t>
  </si>
  <si>
    <t>rd W</t>
  </si>
  <si>
    <t>zC R</t>
  </si>
  <si>
    <t>zC G</t>
  </si>
  <si>
    <t>zC B</t>
  </si>
  <si>
    <t>Cout</t>
  </si>
  <si>
    <t>Kind</t>
  </si>
  <si>
    <t xml:space="preserve"> va misurata</t>
  </si>
  <si>
    <t>Iled ripple</t>
  </si>
  <si>
    <t>dI [%]</t>
  </si>
  <si>
    <t>Iled [A]</t>
  </si>
  <si>
    <t>Cout selcted</t>
  </si>
  <si>
    <t>zC selected</t>
  </si>
  <si>
    <t>Iled ripple selected</t>
  </si>
  <si>
    <t>equal to Cin</t>
  </si>
  <si>
    <t>Analog</t>
  </si>
  <si>
    <t>Dimming mode, PWM magnitude level</t>
  </si>
  <si>
    <t>PWM</t>
  </si>
  <si>
    <t>LO</t>
  </si>
  <si>
    <t>HI</t>
  </si>
  <si>
    <t>&gt; 2.17V</t>
  </si>
  <si>
    <t>&lt;0.35V</t>
  </si>
  <si>
    <t>1.1V &lt; 1.8V</t>
  </si>
  <si>
    <t>R_sense</t>
  </si>
  <si>
    <t>V_sense</t>
  </si>
  <si>
    <t>I_out</t>
  </si>
  <si>
    <t>R_sel</t>
  </si>
  <si>
    <t>R analog -&gt; safe choice</t>
  </si>
  <si>
    <t>https://www.mouser.ch/c/passive-components/resistors/smd-resistors-chip-resistors/?power%20rating=100%20mW%20%281%2F10%20W%29%7C~125%20mW%20%281%2F8%20W%29%7C~200%20mW%20%281%2F5%20W%29%7C~250%20mW%20%281%2F4%20W%29%7C~330%20mW%20%281%2F3%20W%29%7C~333%20mW%20%281%2F3%20W%29%7C~500%20mW%20%281%2F2%20W%29&amp;resistance=1.33%20Ohms&amp;instock=y&amp;sort=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</si>
</sst>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2" borderId="0" xfId="0" applyFill="1"/>
    <xf numFmtId="11" fontId="0" fillId="2" borderId="0" xfId="0" applyNumberFormat="1" applyFill="1"/>
    <xf numFmtId="0" fontId="3" fillId="2" borderId="0" xfId="1" applyFill="1"/>
    <xf numFmtId="11" fontId="0" fillId="4" borderId="0" xfId="0" applyNumberFormat="1" applyFill="1"/>
    <xf numFmtId="0" fontId="0" fillId="4" borderId="0" xfId="0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3</xdr:row>
      <xdr:rowOff>137440</xdr:rowOff>
    </xdr:from>
    <xdr:to>
      <xdr:col>13</xdr:col>
      <xdr:colOff>257589</xdr:colOff>
      <xdr:row>7</xdr:row>
      <xdr:rowOff>171224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25C5B-6360-BA41-02DD-AC0AC8E27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686080"/>
          <a:ext cx="5042949" cy="765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R@Fs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A194-1002-4D4E-917E-13DFFB7A5D58}">
  <dimension ref="A1:R41"/>
  <sheetViews>
    <sheetView tabSelected="1" workbookViewId="0">
      <selection activeCell="E11" sqref="E11"/>
    </sheetView>
  </sheetViews>
  <sheetFormatPr defaultRowHeight="14.4" x14ac:dyDescent="0.3"/>
  <cols>
    <col min="2" max="2" width="10" bestFit="1" customWidth="1"/>
    <col min="3" max="5" width="9.21875" bestFit="1" customWidth="1"/>
  </cols>
  <sheetData>
    <row r="1" spans="2:18" x14ac:dyDescent="0.3">
      <c r="B1" t="s">
        <v>3</v>
      </c>
      <c r="D1" t="s">
        <v>4</v>
      </c>
      <c r="I1" t="s">
        <v>64</v>
      </c>
      <c r="J1" t="s">
        <v>0</v>
      </c>
      <c r="K1" t="s">
        <v>1</v>
      </c>
      <c r="L1" t="s">
        <v>67</v>
      </c>
      <c r="M1" t="s">
        <v>68</v>
      </c>
      <c r="N1" t="s">
        <v>2</v>
      </c>
      <c r="P1" t="s">
        <v>45</v>
      </c>
      <c r="Q1" t="s">
        <v>46</v>
      </c>
      <c r="R1" s="4" t="s">
        <v>37</v>
      </c>
    </row>
    <row r="2" spans="2:18" x14ac:dyDescent="0.3">
      <c r="R2" s="4"/>
    </row>
    <row r="3" spans="2:18" x14ac:dyDescent="0.3">
      <c r="I3">
        <v>0.3</v>
      </c>
      <c r="J3">
        <v>3</v>
      </c>
      <c r="K3">
        <v>10</v>
      </c>
      <c r="L3">
        <v>0.15</v>
      </c>
      <c r="M3">
        <v>0.15</v>
      </c>
      <c r="N3" s="1">
        <v>500000</v>
      </c>
      <c r="P3">
        <v>0.1</v>
      </c>
      <c r="Q3">
        <f>P3*(1-P3)</f>
        <v>9.0000000000000011E-2</v>
      </c>
      <c r="R3" s="4" t="s">
        <v>38</v>
      </c>
    </row>
    <row r="4" spans="2:18" x14ac:dyDescent="0.3">
      <c r="B4" s="8">
        <f xml:space="preserve"> (J3*(K3-J3))/(K3*I3*M3*N3)</f>
        <v>9.3333333333333343E-5</v>
      </c>
      <c r="D4" s="1">
        <f xml:space="preserve"> (J3*(K3-J3))/(K3*B4*N3)</f>
        <v>4.4999999999999991E-2</v>
      </c>
      <c r="P4">
        <v>0.2</v>
      </c>
      <c r="Q4">
        <f t="shared" ref="Q4:Q12" si="0">P4*(1-P4)</f>
        <v>0.16000000000000003</v>
      </c>
    </row>
    <row r="5" spans="2:18" x14ac:dyDescent="0.3">
      <c r="P5">
        <v>0.3</v>
      </c>
      <c r="Q5">
        <f t="shared" si="0"/>
        <v>0.21</v>
      </c>
    </row>
    <row r="6" spans="2:18" x14ac:dyDescent="0.3">
      <c r="P6">
        <v>0.4</v>
      </c>
      <c r="Q6">
        <f t="shared" si="0"/>
        <v>0.24</v>
      </c>
    </row>
    <row r="7" spans="2:18" x14ac:dyDescent="0.3">
      <c r="B7" t="s">
        <v>5</v>
      </c>
      <c r="D7" t="s">
        <v>6</v>
      </c>
      <c r="P7">
        <v>0.5</v>
      </c>
      <c r="Q7">
        <f t="shared" si="0"/>
        <v>0.25</v>
      </c>
    </row>
    <row r="8" spans="2:18" x14ac:dyDescent="0.3">
      <c r="B8" s="1">
        <f>M3+(D4/2)</f>
        <v>0.17249999999999999</v>
      </c>
      <c r="D8" s="1">
        <f>SQRT(M3^2+(((D4)^2)/12))</f>
        <v>0.15056144924913548</v>
      </c>
      <c r="P8">
        <v>0.6</v>
      </c>
      <c r="Q8">
        <f t="shared" si="0"/>
        <v>0.24</v>
      </c>
    </row>
    <row r="9" spans="2:18" x14ac:dyDescent="0.3">
      <c r="P9">
        <v>0.7</v>
      </c>
      <c r="Q9">
        <f t="shared" si="0"/>
        <v>0.21000000000000002</v>
      </c>
    </row>
    <row r="10" spans="2:18" x14ac:dyDescent="0.3">
      <c r="P10">
        <v>0.8</v>
      </c>
      <c r="Q10">
        <f t="shared" si="0"/>
        <v>0.15999999999999998</v>
      </c>
    </row>
    <row r="11" spans="2:18" x14ac:dyDescent="0.3">
      <c r="B11" t="s">
        <v>53</v>
      </c>
      <c r="E11" t="s">
        <v>39</v>
      </c>
      <c r="P11">
        <v>0.9</v>
      </c>
      <c r="Q11">
        <f t="shared" si="0"/>
        <v>8.9999999999999983E-2</v>
      </c>
    </row>
    <row r="12" spans="2:18" x14ac:dyDescent="0.3">
      <c r="B12" s="8">
        <f>E12*((D8^2)+(((D4)^2)/12))</f>
        <v>2.0553749999999999E-2</v>
      </c>
      <c r="C12" s="9"/>
      <c r="D12" s="9"/>
      <c r="E12" s="9">
        <v>0.9</v>
      </c>
      <c r="P12">
        <v>1</v>
      </c>
      <c r="Q12">
        <f t="shared" si="0"/>
        <v>0</v>
      </c>
    </row>
    <row r="13" spans="2:18" x14ac:dyDescent="0.3">
      <c r="B13" t="s">
        <v>54</v>
      </c>
      <c r="D13">
        <f>30+45</f>
        <v>75</v>
      </c>
      <c r="E13" t="s">
        <v>55</v>
      </c>
    </row>
    <row r="15" spans="2:18" x14ac:dyDescent="0.3">
      <c r="B15" t="s">
        <v>51</v>
      </c>
      <c r="C15" t="s">
        <v>52</v>
      </c>
    </row>
    <row r="16" spans="2:18" x14ac:dyDescent="0.3">
      <c r="B16" t="s">
        <v>48</v>
      </c>
      <c r="C16" s="5">
        <f>0.00001</f>
        <v>1.0000000000000001E-5</v>
      </c>
      <c r="D16" s="7" t="s">
        <v>49</v>
      </c>
      <c r="E16" s="6">
        <v>2E-3</v>
      </c>
    </row>
    <row r="17" spans="1:6" x14ac:dyDescent="0.3">
      <c r="B17" t="s">
        <v>47</v>
      </c>
      <c r="C17" t="s">
        <v>50</v>
      </c>
    </row>
    <row r="18" spans="1:6" x14ac:dyDescent="0.3">
      <c r="B18">
        <f xml:space="preserve"> M3*SQRT(Q7)</f>
        <v>7.4999999999999997E-2</v>
      </c>
      <c r="C18" s="1">
        <f>((M3*Q7)/(C16*N3)) + (M3*E16)</f>
        <v>7.7999999999999996E-3</v>
      </c>
    </row>
    <row r="19" spans="1:6" x14ac:dyDescent="0.3">
      <c r="B19" t="s">
        <v>56</v>
      </c>
      <c r="C19" t="s">
        <v>57</v>
      </c>
      <c r="D19" t="s">
        <v>58</v>
      </c>
      <c r="E19" t="s">
        <v>59</v>
      </c>
    </row>
    <row r="20" spans="1:6" x14ac:dyDescent="0.3">
      <c r="B20" s="10">
        <f>(2.25-2.16)/(0.25-0.15)</f>
        <v>0.89999999999999858</v>
      </c>
      <c r="C20" s="10">
        <f>(3.5-3.27)/(0.195-0.15)</f>
        <v>5.1111111111111089</v>
      </c>
      <c r="D20" s="10">
        <f>(3.23-3.1)/(0.2-0.15)</f>
        <v>2.599999999999997</v>
      </c>
      <c r="E20" s="10">
        <f>(3.23-3.1)/(0.2-0.15)</f>
        <v>2.599999999999997</v>
      </c>
      <c r="F20" t="s">
        <v>65</v>
      </c>
    </row>
    <row r="22" spans="1:6" x14ac:dyDescent="0.3">
      <c r="B22" t="s">
        <v>8</v>
      </c>
      <c r="C22" t="s">
        <v>9</v>
      </c>
      <c r="D22" t="s">
        <v>10</v>
      </c>
      <c r="E22" t="s">
        <v>11</v>
      </c>
    </row>
    <row r="23" spans="1:6" x14ac:dyDescent="0.3">
      <c r="B23" s="5" t="s">
        <v>60</v>
      </c>
      <c r="C23" s="5" t="s">
        <v>61</v>
      </c>
      <c r="D23" s="5" t="s">
        <v>62</v>
      </c>
      <c r="E23" s="5" t="s">
        <v>62</v>
      </c>
    </row>
    <row r="24" spans="1:6" x14ac:dyDescent="0.3">
      <c r="B24" s="6">
        <f>(B20*$L$3)/($D$4-($L$3*$M$3))</f>
        <v>5.9999999999999929</v>
      </c>
      <c r="C24" s="6">
        <f>(C20*$L$3)/($D$4-($L$3*$M$3))</f>
        <v>34.074074074074069</v>
      </c>
      <c r="D24" s="6">
        <f>(D20*$L$3)/($D$4-($L$3*$M$3))</f>
        <v>17.333333333333318</v>
      </c>
      <c r="E24" s="6">
        <f>(E20*$L$3)/($D$4-($L$3*$M$3))</f>
        <v>17.333333333333318</v>
      </c>
    </row>
    <row r="25" spans="1:6" x14ac:dyDescent="0.3">
      <c r="A25" t="s">
        <v>70</v>
      </c>
      <c r="B25" s="6">
        <f>1/(2*PI()*$N$3*B28)</f>
        <v>3.1830988618379068E-2</v>
      </c>
      <c r="C25" s="6">
        <f>1/(2*PI()*$N$3*C28)</f>
        <v>3.1830988618379068E-2</v>
      </c>
      <c r="D25" s="6">
        <f>1/(2*PI()*$N$3*D28)</f>
        <v>3.1830988618379068E-2</v>
      </c>
      <c r="E25" s="6">
        <f>1/(2*PI()*$N$3*E28)</f>
        <v>3.1830988618379068E-2</v>
      </c>
    </row>
    <row r="26" spans="1:6" x14ac:dyDescent="0.3">
      <c r="B26" s="5" t="s">
        <v>63</v>
      </c>
      <c r="C26" s="5" t="s">
        <v>63</v>
      </c>
      <c r="D26" s="5" t="s">
        <v>63</v>
      </c>
      <c r="E26" s="5" t="s">
        <v>63</v>
      </c>
    </row>
    <row r="27" spans="1:6" x14ac:dyDescent="0.3">
      <c r="B27" s="6">
        <f>1/(2*PI()*$N$3*B24)</f>
        <v>5.3051647697298507E-8</v>
      </c>
      <c r="C27" s="6">
        <f>1/(2*PI()*$N$3*C24)</f>
        <v>9.3417031814808156E-9</v>
      </c>
      <c r="D27" s="6">
        <f>1/(2*PI()*$N$3*D24)</f>
        <v>1.8364031895218708E-8</v>
      </c>
      <c r="E27" s="6">
        <f>1/(2*PI()*$N$3*E24)</f>
        <v>1.8364031895218708E-8</v>
      </c>
    </row>
    <row r="28" spans="1:6" x14ac:dyDescent="0.3">
      <c r="A28" t="s">
        <v>69</v>
      </c>
      <c r="B28" s="6">
        <v>1.0000000000000001E-5</v>
      </c>
      <c r="C28" s="6">
        <v>1.0000000000000001E-5</v>
      </c>
      <c r="D28" s="6">
        <v>1.0000000000000001E-5</v>
      </c>
      <c r="E28" s="6">
        <v>1.0000000000000001E-5</v>
      </c>
      <c r="F28" t="s">
        <v>72</v>
      </c>
    </row>
    <row r="29" spans="1:6" x14ac:dyDescent="0.3">
      <c r="A29" t="s">
        <v>66</v>
      </c>
      <c r="B29" s="1">
        <f>(B24*$D$4)/(B24+B20)</f>
        <v>3.9130434782608692E-2</v>
      </c>
      <c r="C29" s="1">
        <f>(C24*$D$4)/(C24+C20)</f>
        <v>3.9130434782608692E-2</v>
      </c>
      <c r="D29" s="1">
        <f>(D24*$D$4)/(D24+D20)</f>
        <v>3.9130434782608685E-2</v>
      </c>
      <c r="E29" s="1">
        <f>(E24*$D$4)/(E24+E20)</f>
        <v>3.9130434782608685E-2</v>
      </c>
    </row>
    <row r="30" spans="1:6" x14ac:dyDescent="0.3">
      <c r="A30" t="s">
        <v>71</v>
      </c>
      <c r="B30" s="1">
        <f>(B25*$D$4)/(B25+B20)</f>
        <v>1.5371827137353135E-3</v>
      </c>
      <c r="C30" s="1">
        <f>(C25*$D$4)/(C25+C20)</f>
        <v>2.7851654948680054E-4</v>
      </c>
      <c r="D30" s="1">
        <f>(D25*$D$4)/(D25+D20)</f>
        <v>5.4425777871816062E-4</v>
      </c>
      <c r="E30" s="1">
        <f>(E25*$D$4)/(E25+E20)</f>
        <v>5.4425777871816062E-4</v>
      </c>
    </row>
    <row r="32" spans="1:6" x14ac:dyDescent="0.3">
      <c r="A32" t="s">
        <v>74</v>
      </c>
    </row>
    <row r="33" spans="1:3" x14ac:dyDescent="0.3">
      <c r="B33" t="s">
        <v>76</v>
      </c>
      <c r="C33" t="s">
        <v>77</v>
      </c>
    </row>
    <row r="34" spans="1:3" x14ac:dyDescent="0.3">
      <c r="A34" t="s">
        <v>73</v>
      </c>
      <c r="B34" t="s">
        <v>79</v>
      </c>
      <c r="C34" t="s">
        <v>78</v>
      </c>
    </row>
    <row r="35" spans="1:3" x14ac:dyDescent="0.3">
      <c r="A35" t="s">
        <v>75</v>
      </c>
      <c r="B35" t="s">
        <v>79</v>
      </c>
      <c r="C35" t="s">
        <v>80</v>
      </c>
    </row>
    <row r="36" spans="1:3" x14ac:dyDescent="0.3">
      <c r="B36" t="s">
        <v>75</v>
      </c>
      <c r="C36" t="s">
        <v>73</v>
      </c>
    </row>
    <row r="37" spans="1:3" x14ac:dyDescent="0.3">
      <c r="A37" t="s">
        <v>81</v>
      </c>
      <c r="B37">
        <f>B38/$M$3</f>
        <v>0.66666666666666674</v>
      </c>
      <c r="C37">
        <f>C38/$M$3</f>
        <v>1.3333333333333335</v>
      </c>
    </row>
    <row r="38" spans="1:3" x14ac:dyDescent="0.3">
      <c r="A38" t="s">
        <v>82</v>
      </c>
      <c r="B38">
        <v>0.1</v>
      </c>
      <c r="C38">
        <v>0.2</v>
      </c>
    </row>
    <row r="39" spans="1:3" x14ac:dyDescent="0.3">
      <c r="A39" t="s">
        <v>83</v>
      </c>
      <c r="B39">
        <f>B38/$B$40</f>
        <v>7.4999999999999997E-2</v>
      </c>
      <c r="C39">
        <f>C38/$B$40</f>
        <v>0.15</v>
      </c>
    </row>
    <row r="40" spans="1:3" x14ac:dyDescent="0.3">
      <c r="A40" t="s">
        <v>84</v>
      </c>
      <c r="B40">
        <f>C37</f>
        <v>1.3333333333333335</v>
      </c>
    </row>
    <row r="41" spans="1:3" x14ac:dyDescent="0.3">
      <c r="A41" t="s">
        <v>85</v>
      </c>
      <c r="B41" t="s">
        <v>86</v>
      </c>
    </row>
  </sheetData>
  <hyperlinks>
    <hyperlink ref="D16" r:id="rId1" xr:uid="{64F68091-3CE9-4DD2-AA96-169721F4B93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5AB1-551D-4DC4-ACD1-9113FEE96DB5}">
  <dimension ref="A1:O37"/>
  <sheetViews>
    <sheetView workbookViewId="0">
      <selection activeCell="N22" sqref="N22"/>
    </sheetView>
  </sheetViews>
  <sheetFormatPr defaultRowHeight="14.4" x14ac:dyDescent="0.3"/>
  <cols>
    <col min="10" max="10" width="16.21875" customWidth="1"/>
    <col min="11" max="11" width="16.33203125" customWidth="1"/>
  </cols>
  <sheetData>
    <row r="1" spans="1:15" x14ac:dyDescent="0.3">
      <c r="A1" t="s">
        <v>7</v>
      </c>
    </row>
    <row r="2" spans="1:15" x14ac:dyDescent="0.3">
      <c r="C2" t="s">
        <v>12</v>
      </c>
      <c r="D2" t="s">
        <v>13</v>
      </c>
      <c r="E2" t="s">
        <v>14</v>
      </c>
      <c r="G2" t="s">
        <v>15</v>
      </c>
    </row>
    <row r="3" spans="1:15" x14ac:dyDescent="0.3">
      <c r="B3" t="s">
        <v>8</v>
      </c>
      <c r="C3">
        <f>0.15</f>
        <v>0.15</v>
      </c>
      <c r="D3">
        <f>2.5</f>
        <v>2.5</v>
      </c>
      <c r="E3">
        <f>C3*D3</f>
        <v>0.375</v>
      </c>
      <c r="G3">
        <f>SUM(E3:E6)</f>
        <v>1.8299999999999998</v>
      </c>
    </row>
    <row r="4" spans="1:15" x14ac:dyDescent="0.3">
      <c r="B4" t="s">
        <v>9</v>
      </c>
      <c r="C4">
        <f>0.15</f>
        <v>0.15</v>
      </c>
      <c r="D4">
        <f>3.3</f>
        <v>3.3</v>
      </c>
      <c r="E4">
        <f>C4*D4</f>
        <v>0.49499999999999994</v>
      </c>
    </row>
    <row r="5" spans="1:15" x14ac:dyDescent="0.3">
      <c r="B5" t="s">
        <v>10</v>
      </c>
      <c r="C5">
        <f>0.15</f>
        <v>0.15</v>
      </c>
      <c r="D5">
        <f>3.2</f>
        <v>3.2</v>
      </c>
      <c r="E5">
        <f>C5*D5</f>
        <v>0.48</v>
      </c>
    </row>
    <row r="6" spans="1:15" x14ac:dyDescent="0.3">
      <c r="B6" t="s">
        <v>11</v>
      </c>
      <c r="C6">
        <f>0.15</f>
        <v>0.15</v>
      </c>
      <c r="D6">
        <f>3.2</f>
        <v>3.2</v>
      </c>
      <c r="E6">
        <f>C6*D6</f>
        <v>0.48</v>
      </c>
      <c r="O6" t="s">
        <v>40</v>
      </c>
    </row>
    <row r="9" spans="1:15" x14ac:dyDescent="0.3">
      <c r="B9" t="s">
        <v>16</v>
      </c>
      <c r="E9" t="s">
        <v>24</v>
      </c>
      <c r="F9" t="s">
        <v>23</v>
      </c>
    </row>
    <row r="10" spans="1:15" x14ac:dyDescent="0.3">
      <c r="B10" t="s">
        <v>17</v>
      </c>
      <c r="D10" t="s">
        <v>8</v>
      </c>
      <c r="E10">
        <v>20</v>
      </c>
      <c r="F10">
        <f>1/E10</f>
        <v>0.05</v>
      </c>
      <c r="H10" t="s">
        <v>43</v>
      </c>
      <c r="I10">
        <f>0.25</f>
        <v>0.25</v>
      </c>
      <c r="K10" t="s">
        <v>21</v>
      </c>
      <c r="L10">
        <f>(I10*I11)/(PI()*((I12/2)^2-((I12/2)-I13)^2))</f>
        <v>279.21919840683387</v>
      </c>
    </row>
    <row r="11" spans="1:15" x14ac:dyDescent="0.3">
      <c r="D11" t="s">
        <v>9</v>
      </c>
      <c r="E11">
        <v>55</v>
      </c>
      <c r="F11">
        <f>1/E11</f>
        <v>1.8181818181818181E-2</v>
      </c>
      <c r="H11" t="s">
        <v>18</v>
      </c>
      <c r="I11">
        <f>0.15</f>
        <v>0.15</v>
      </c>
      <c r="K11" t="s">
        <v>32</v>
      </c>
      <c r="L11">
        <f>L10/4</f>
        <v>69.804799601708467</v>
      </c>
    </row>
    <row r="12" spans="1:15" x14ac:dyDescent="0.3">
      <c r="D12" t="s">
        <v>10</v>
      </c>
      <c r="E12">
        <v>25</v>
      </c>
      <c r="F12">
        <f>1/E12</f>
        <v>0.04</v>
      </c>
      <c r="H12" t="s">
        <v>19</v>
      </c>
      <c r="I12">
        <v>0.03</v>
      </c>
    </row>
    <row r="13" spans="1:15" x14ac:dyDescent="0.3">
      <c r="D13" t="s">
        <v>11</v>
      </c>
      <c r="E13">
        <v>28</v>
      </c>
      <c r="F13">
        <f>1/E13</f>
        <v>3.5714285714285712E-2</v>
      </c>
      <c r="H13" t="s">
        <v>20</v>
      </c>
      <c r="I13">
        <v>1.5E-3</v>
      </c>
    </row>
    <row r="14" spans="1:15" x14ac:dyDescent="0.3">
      <c r="H14" t="s">
        <v>41</v>
      </c>
      <c r="I14">
        <v>3.5000000000000001E-3</v>
      </c>
    </row>
    <row r="15" spans="1:15" x14ac:dyDescent="0.3">
      <c r="H15" t="s">
        <v>44</v>
      </c>
      <c r="I15">
        <v>1</v>
      </c>
    </row>
    <row r="16" spans="1:15" x14ac:dyDescent="0.3">
      <c r="H16" t="s">
        <v>42</v>
      </c>
      <c r="I16">
        <v>0.1</v>
      </c>
    </row>
    <row r="17" spans="2:12" x14ac:dyDescent="0.3">
      <c r="B17" t="s">
        <v>30</v>
      </c>
      <c r="C17" t="s">
        <v>28</v>
      </c>
      <c r="E17">
        <f>(I10*I16)/(I15*I14)</f>
        <v>7.1428571428571432</v>
      </c>
      <c r="J17" t="s">
        <v>29</v>
      </c>
    </row>
    <row r="18" spans="2:12" x14ac:dyDescent="0.3">
      <c r="B18" t="s">
        <v>31</v>
      </c>
      <c r="K18" t="s">
        <v>33</v>
      </c>
      <c r="L18">
        <f>L10/24 + E17</f>
        <v>18.776990409808555</v>
      </c>
    </row>
    <row r="20" spans="2:12" x14ac:dyDescent="0.3">
      <c r="B20" t="s">
        <v>34</v>
      </c>
      <c r="H20" s="2" t="s">
        <v>36</v>
      </c>
    </row>
    <row r="21" spans="2:12" x14ac:dyDescent="0.3">
      <c r="B21" t="s">
        <v>35</v>
      </c>
      <c r="C21" s="3">
        <f>1/(1/(2*L18)+1/L11)+30</f>
        <v>54.417640504782185</v>
      </c>
    </row>
    <row r="31" spans="2:12" x14ac:dyDescent="0.3">
      <c r="G31" t="s">
        <v>26</v>
      </c>
    </row>
    <row r="32" spans="2:12" x14ac:dyDescent="0.3">
      <c r="B32" t="s">
        <v>22</v>
      </c>
      <c r="C32" t="s">
        <v>8</v>
      </c>
      <c r="D32">
        <f>(E10*E3)+$C$21</f>
        <v>61.917640504782185</v>
      </c>
      <c r="G32">
        <f>$J$32+D32</f>
        <v>106.91764050478218</v>
      </c>
      <c r="I32" t="s">
        <v>25</v>
      </c>
      <c r="J32">
        <v>45</v>
      </c>
    </row>
    <row r="33" spans="3:7" x14ac:dyDescent="0.3">
      <c r="C33" t="s">
        <v>9</v>
      </c>
      <c r="D33">
        <f>(E11*E4)+$C$21</f>
        <v>81.642640504782179</v>
      </c>
      <c r="G33">
        <f>$J$32+D33</f>
        <v>126.64264050478218</v>
      </c>
    </row>
    <row r="34" spans="3:7" x14ac:dyDescent="0.3">
      <c r="C34" t="s">
        <v>10</v>
      </c>
      <c r="D34">
        <f>(E12*E5)+$C$21</f>
        <v>66.417640504782185</v>
      </c>
      <c r="G34">
        <f>$J$32+D34</f>
        <v>111.41764050478218</v>
      </c>
    </row>
    <row r="35" spans="3:7" x14ac:dyDescent="0.3">
      <c r="C35" t="s">
        <v>11</v>
      </c>
      <c r="D35">
        <f>(E13*E6)+$C$21</f>
        <v>67.857640504782182</v>
      </c>
      <c r="G35">
        <f>$J$32+D35</f>
        <v>112.85764050478218</v>
      </c>
    </row>
    <row r="37" spans="3:7" x14ac:dyDescent="0.3">
      <c r="G37" t="s">
        <v>27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da9b4-ef9f-4d7f-bb1b-b3e4f6c49b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D964562829624896584F3AEEBF72CB" ma:contentTypeVersion="14" ma:contentTypeDescription="Create a new document." ma:contentTypeScope="" ma:versionID="396605869d7826b64da8f54a34824e5d">
  <xsd:schema xmlns:xsd="http://www.w3.org/2001/XMLSchema" xmlns:xs="http://www.w3.org/2001/XMLSchema" xmlns:p="http://schemas.microsoft.com/office/2006/metadata/properties" xmlns:ns3="769da9b4-ef9f-4d7f-bb1b-b3e4f6c49b6b" xmlns:ns4="2502d086-0cb1-4cfc-8835-dc790d9f0364" targetNamespace="http://schemas.microsoft.com/office/2006/metadata/properties" ma:root="true" ma:fieldsID="b2d6fc8e45be6a034292921f4c992c0d" ns3:_="" ns4:_="">
    <xsd:import namespace="769da9b4-ef9f-4d7f-bb1b-b3e4f6c49b6b"/>
    <xsd:import namespace="2502d086-0cb1-4cfc-8835-dc790d9f03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da9b4-ef9f-4d7f-bb1b-b3e4f6c49b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2d086-0cb1-4cfc-8835-dc790d9f036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F904F1-6D95-44E0-8D3B-8678AE40F2FB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769da9b4-ef9f-4d7f-bb1b-b3e4f6c49b6b"/>
    <ds:schemaRef ds:uri="http://purl.org/dc/terms/"/>
    <ds:schemaRef ds:uri="http://schemas.openxmlformats.org/package/2006/metadata/core-properties"/>
    <ds:schemaRef ds:uri="2502d086-0cb1-4cfc-8835-dc790d9f036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863F4B7-066E-49A8-A7CF-3BF0F1ACDA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da9b4-ef9f-4d7f-bb1b-b3e4f6c49b6b"/>
    <ds:schemaRef ds:uri="2502d086-0cb1-4cfc-8835-dc790d9f0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EE354F-8F6E-4C37-84E5-E2D8D5AB26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TPS54200</vt:lpstr>
      <vt:lpstr>LuXEon 5052 RGBW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Sanino, Enrico (Bruegg)</dc:creator>
  <cp:lastModifiedBy>Sanino, Enrico (Bruegg)</cp:lastModifiedBy>
  <cp:lastPrinted>2024-11-08T14:40:22Z</cp:lastPrinted>
  <dcterms:created xsi:type="dcterms:W3CDTF">2024-09-14T08:23:21Z</dcterms:created>
  <dcterms:modified xsi:type="dcterms:W3CDTF">2024-11-18T17:40:30Z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0x010100A4D964562829624896584F3AEEBF72CB</vt:lpwstr>
  </property>
</Properties>
</file>